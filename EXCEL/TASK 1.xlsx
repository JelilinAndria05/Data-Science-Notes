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E17" i="1"/>
  <c r="E18" i="1"/>
  <c r="E19" i="1"/>
  <c r="E20" i="1"/>
  <c r="E21" i="1"/>
  <c r="E22" i="1"/>
  <c r="E23" i="1"/>
  <c r="E24" i="1"/>
  <c r="E25" i="1"/>
  <c r="E26" i="1"/>
  <c r="D18" i="1"/>
  <c r="D19" i="1"/>
  <c r="D21" i="1"/>
  <c r="D22" i="1"/>
  <c r="D23" i="1"/>
  <c r="D24" i="1"/>
  <c r="D25" i="1"/>
  <c r="D26" i="1"/>
  <c r="D17" i="1"/>
  <c r="I13" i="1"/>
  <c r="J13" i="1" s="1"/>
  <c r="I5" i="1"/>
  <c r="J6" i="1"/>
  <c r="J7" i="1"/>
  <c r="J8" i="1"/>
  <c r="J9" i="1"/>
  <c r="J10" i="1"/>
  <c r="J11" i="1"/>
  <c r="J12" i="1"/>
  <c r="J5" i="1"/>
  <c r="I6" i="1"/>
  <c r="I7" i="1"/>
  <c r="I8" i="1"/>
  <c r="I9" i="1"/>
  <c r="I10" i="1"/>
  <c r="I11" i="1"/>
  <c r="I12" i="1"/>
</calcChain>
</file>

<file path=xl/sharedStrings.xml><?xml version="1.0" encoding="utf-8"?>
<sst xmlns="http://schemas.openxmlformats.org/spreadsheetml/2006/main" count="25" uniqueCount="25">
  <si>
    <t>Destination</t>
  </si>
  <si>
    <t>Departure Date</t>
  </si>
  <si>
    <t>Arrival Date</t>
  </si>
  <si>
    <t>Travel Cost</t>
  </si>
  <si>
    <t>Stay Cost</t>
  </si>
  <si>
    <t>Food</t>
  </si>
  <si>
    <t>Beijing</t>
  </si>
  <si>
    <t>Shanghai</t>
  </si>
  <si>
    <t>Chengdu</t>
  </si>
  <si>
    <t>Xi'an</t>
  </si>
  <si>
    <t>Guilin</t>
  </si>
  <si>
    <t>Hangzhou</t>
  </si>
  <si>
    <t>Zhangjiajie</t>
  </si>
  <si>
    <t>Chongqing</t>
  </si>
  <si>
    <t>Total in Rupees</t>
  </si>
  <si>
    <t>Total in Yuan</t>
  </si>
  <si>
    <t>TRIP DETAILS</t>
  </si>
  <si>
    <t>No.of Persons</t>
  </si>
  <si>
    <t>S.No</t>
  </si>
  <si>
    <t>Grand Total</t>
  </si>
  <si>
    <t>Total Cost in INR</t>
  </si>
  <si>
    <t>Total Cost in CNY</t>
  </si>
  <si>
    <t>Total Cost Estimation</t>
  </si>
  <si>
    <t>TASK 1</t>
  </si>
  <si>
    <t>Yuan 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</si>
</sst>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6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5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4" xfId="0" applyBorder="1"/>
    <xf numFmtId="0" fontId="0" fillId="2" borderId="1" xfId="0" applyFill="1" applyBorder="1" applyAlignment="1">
      <alignment horizontal="center"/>
    </xf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/>
    <xf numFmtId="0" fontId="0" fillId="5" borderId="1" xfId="0" applyFill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/>
    <xf numFmtId="14" fontId="0" fillId="0" borderId="9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1" fillId="5" borderId="8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/>
    <xf numFmtId="0" fontId="0" fillId="0" borderId="0" xfId="0" applyBorder="1" applyAlignment="1">
      <alignment vertical="center" textRotation="90"/>
    </xf>
    <xf numFmtId="0" fontId="0" fillId="0" borderId="3" xfId="0" applyBorder="1"/>
    <xf numFmtId="0" fontId="0" fillId="4" borderId="13" xfId="0" applyFill="1" applyBorder="1"/>
    <xf numFmtId="0" fontId="0" fillId="4" borderId="14" xfId="0" applyFill="1" applyBorder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zoomScale="115" zoomScaleNormal="115" workbookViewId="0">
      <selection activeCell="D21" sqref="D21"/>
    </sheetView>
  </sheetViews>
  <sheetFormatPr defaultRowHeight="14.5" x14ac:dyDescent="0.35"/>
  <cols>
    <col min="1" max="1" width="11.7265625" customWidth="1"/>
    <col min="2" max="2" width="4.7265625" customWidth="1"/>
    <col min="3" max="3" width="11.90625" customWidth="1"/>
    <col min="4" max="4" width="14.54296875" customWidth="1"/>
    <col min="5" max="5" width="15" bestFit="1" customWidth="1"/>
    <col min="6" max="6" width="10.6328125" customWidth="1"/>
    <col min="7" max="7" width="10.54296875" customWidth="1"/>
    <col min="9" max="9" width="16.26953125" customWidth="1"/>
    <col min="10" max="10" width="17.08984375" customWidth="1"/>
  </cols>
  <sheetData>
    <row r="1" spans="1:13" ht="15" thickBot="1" x14ac:dyDescent="0.4">
      <c r="A1" s="48" t="s">
        <v>23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 ht="15" thickBot="1" x14ac:dyDescent="0.4">
      <c r="A2" s="1"/>
      <c r="B2" s="42"/>
      <c r="C2" s="42"/>
      <c r="D2" s="42"/>
      <c r="E2" s="42"/>
      <c r="F2" s="42"/>
      <c r="G2" s="42"/>
      <c r="H2" s="42"/>
      <c r="I2" s="46" t="s">
        <v>24</v>
      </c>
      <c r="J2" s="47">
        <v>7.0300000000000001E-2</v>
      </c>
      <c r="K2" s="42"/>
      <c r="L2" s="42"/>
      <c r="M2" s="4"/>
    </row>
    <row r="3" spans="1:13" ht="15" thickBot="1" x14ac:dyDescent="0.4">
      <c r="A3" s="1"/>
      <c r="B3" s="12" t="s">
        <v>16</v>
      </c>
      <c r="C3" s="13"/>
      <c r="D3" s="13"/>
      <c r="E3" s="13"/>
      <c r="F3" s="13"/>
      <c r="G3" s="13"/>
      <c r="H3" s="13"/>
      <c r="I3" s="13"/>
      <c r="J3" s="14"/>
      <c r="K3" s="42"/>
      <c r="L3" s="42"/>
      <c r="M3" s="4"/>
    </row>
    <row r="4" spans="1:13" ht="15" thickBot="1" x14ac:dyDescent="0.4">
      <c r="A4" s="1"/>
      <c r="B4" s="10" t="s">
        <v>18</v>
      </c>
      <c r="C4" s="11" t="s">
        <v>0</v>
      </c>
      <c r="D4" s="9" t="s">
        <v>1</v>
      </c>
      <c r="E4" s="9" t="s">
        <v>2</v>
      </c>
      <c r="F4" s="9" t="s">
        <v>3</v>
      </c>
      <c r="G4" s="9" t="s">
        <v>4</v>
      </c>
      <c r="H4" s="9" t="s">
        <v>5</v>
      </c>
      <c r="I4" s="9" t="s">
        <v>14</v>
      </c>
      <c r="J4" s="15" t="s">
        <v>15</v>
      </c>
      <c r="K4" s="42"/>
      <c r="L4" s="42"/>
      <c r="M4" s="4"/>
    </row>
    <row r="5" spans="1:13" ht="15" thickBot="1" x14ac:dyDescent="0.4">
      <c r="A5" s="1"/>
      <c r="B5" s="1">
        <v>1</v>
      </c>
      <c r="C5" s="26" t="s">
        <v>6</v>
      </c>
      <c r="D5" s="3">
        <v>45870</v>
      </c>
      <c r="E5" s="23">
        <v>45879</v>
      </c>
      <c r="F5" s="2">
        <v>6000</v>
      </c>
      <c r="G5" s="26">
        <v>3000</v>
      </c>
      <c r="H5" s="2">
        <v>2000</v>
      </c>
      <c r="I5" s="26">
        <f>F5+G5+H5</f>
        <v>11000</v>
      </c>
      <c r="J5" s="4">
        <f>I5*$J$2</f>
        <v>773.30000000000007</v>
      </c>
      <c r="K5" s="42"/>
      <c r="L5" s="42"/>
      <c r="M5" s="4"/>
    </row>
    <row r="6" spans="1:13" ht="15" thickBot="1" x14ac:dyDescent="0.4">
      <c r="A6" s="1"/>
      <c r="B6" s="27">
        <v>2</v>
      </c>
      <c r="C6" s="16" t="s">
        <v>7</v>
      </c>
      <c r="D6" s="28">
        <v>45880</v>
      </c>
      <c r="E6" s="29">
        <v>45889</v>
      </c>
      <c r="F6" s="30">
        <v>8000</v>
      </c>
      <c r="G6" s="16">
        <v>5000</v>
      </c>
      <c r="H6" s="30">
        <v>4000</v>
      </c>
      <c r="I6" s="16">
        <f t="shared" ref="I6:I12" si="0">F6+G6+H6</f>
        <v>17000</v>
      </c>
      <c r="J6" s="31">
        <f t="shared" ref="J6:J13" si="1">I6*$J$2</f>
        <v>1195.1000000000001</v>
      </c>
      <c r="K6" s="42"/>
      <c r="L6" s="42"/>
      <c r="M6" s="4"/>
    </row>
    <row r="7" spans="1:13" ht="15" thickBot="1" x14ac:dyDescent="0.4">
      <c r="A7" s="1"/>
      <c r="B7" s="1">
        <v>3</v>
      </c>
      <c r="C7" s="17" t="s">
        <v>8</v>
      </c>
      <c r="D7" s="3">
        <v>45890</v>
      </c>
      <c r="E7" s="24">
        <v>45900</v>
      </c>
      <c r="F7" s="2">
        <v>10000</v>
      </c>
      <c r="G7" s="17">
        <v>2700</v>
      </c>
      <c r="H7" s="2">
        <v>5500</v>
      </c>
      <c r="I7" s="17">
        <f t="shared" si="0"/>
        <v>18200</v>
      </c>
      <c r="J7" s="4">
        <f t="shared" si="1"/>
        <v>1279.46</v>
      </c>
      <c r="K7" s="42"/>
      <c r="L7" s="42"/>
      <c r="M7" s="4"/>
    </row>
    <row r="8" spans="1:13" ht="15" thickBot="1" x14ac:dyDescent="0.4">
      <c r="A8" s="1"/>
      <c r="B8" s="27">
        <v>4</v>
      </c>
      <c r="C8" s="16" t="s">
        <v>9</v>
      </c>
      <c r="D8" s="28">
        <v>45901</v>
      </c>
      <c r="E8" s="29">
        <v>45910</v>
      </c>
      <c r="F8" s="30">
        <v>9500</v>
      </c>
      <c r="G8" s="16">
        <v>4500</v>
      </c>
      <c r="H8" s="30">
        <v>2700</v>
      </c>
      <c r="I8" s="16">
        <f t="shared" si="0"/>
        <v>16700</v>
      </c>
      <c r="J8" s="31">
        <f t="shared" si="1"/>
        <v>1174.01</v>
      </c>
      <c r="K8" s="42"/>
      <c r="L8" s="42"/>
      <c r="M8" s="4"/>
    </row>
    <row r="9" spans="1:13" ht="15" thickBot="1" x14ac:dyDescent="0.4">
      <c r="A9" s="1"/>
      <c r="B9" s="1">
        <v>5</v>
      </c>
      <c r="C9" s="17" t="s">
        <v>10</v>
      </c>
      <c r="D9" s="3">
        <v>45911</v>
      </c>
      <c r="E9" s="24">
        <v>45920</v>
      </c>
      <c r="F9" s="2">
        <v>12500</v>
      </c>
      <c r="G9" s="17">
        <v>10200</v>
      </c>
      <c r="H9" s="2">
        <v>7000</v>
      </c>
      <c r="I9" s="17">
        <f t="shared" si="0"/>
        <v>29700</v>
      </c>
      <c r="J9" s="4">
        <f t="shared" si="1"/>
        <v>2087.91</v>
      </c>
      <c r="K9" s="42"/>
      <c r="L9" s="42"/>
      <c r="M9" s="4"/>
    </row>
    <row r="10" spans="1:13" ht="15" thickBot="1" x14ac:dyDescent="0.4">
      <c r="A10" s="1"/>
      <c r="B10" s="27">
        <v>6</v>
      </c>
      <c r="C10" s="16" t="s">
        <v>11</v>
      </c>
      <c r="D10" s="28">
        <v>45921</v>
      </c>
      <c r="E10" s="29">
        <v>45930</v>
      </c>
      <c r="F10" s="30">
        <v>6500</v>
      </c>
      <c r="G10" s="16">
        <v>14000</v>
      </c>
      <c r="H10" s="30">
        <v>10000</v>
      </c>
      <c r="I10" s="16">
        <f t="shared" si="0"/>
        <v>30500</v>
      </c>
      <c r="J10" s="31">
        <f t="shared" si="1"/>
        <v>2144.15</v>
      </c>
      <c r="K10" s="42"/>
      <c r="L10" s="42"/>
      <c r="M10" s="4"/>
    </row>
    <row r="11" spans="1:13" ht="15" thickBot="1" x14ac:dyDescent="0.4">
      <c r="A11" s="1"/>
      <c r="B11" s="27">
        <v>7</v>
      </c>
      <c r="C11" s="16" t="s">
        <v>12</v>
      </c>
      <c r="D11" s="28">
        <v>45931</v>
      </c>
      <c r="E11" s="29">
        <v>45940</v>
      </c>
      <c r="F11" s="30">
        <v>15000</v>
      </c>
      <c r="G11" s="16">
        <v>7600</v>
      </c>
      <c r="H11" s="30">
        <v>4800</v>
      </c>
      <c r="I11" s="16">
        <f t="shared" si="0"/>
        <v>27400</v>
      </c>
      <c r="J11" s="31">
        <f t="shared" si="1"/>
        <v>1926.22</v>
      </c>
      <c r="K11" s="42"/>
      <c r="L11" s="42"/>
      <c r="M11" s="4"/>
    </row>
    <row r="12" spans="1:13" ht="15" thickBot="1" x14ac:dyDescent="0.4">
      <c r="A12" s="1"/>
      <c r="B12" s="5">
        <v>8</v>
      </c>
      <c r="C12" s="18" t="s">
        <v>13</v>
      </c>
      <c r="D12" s="7">
        <v>45941</v>
      </c>
      <c r="E12" s="25">
        <v>45920</v>
      </c>
      <c r="F12" s="6">
        <v>7500</v>
      </c>
      <c r="G12" s="18">
        <v>2600</v>
      </c>
      <c r="H12" s="6">
        <v>5700</v>
      </c>
      <c r="I12" s="18">
        <f t="shared" si="0"/>
        <v>15800</v>
      </c>
      <c r="J12" s="8">
        <f t="shared" si="1"/>
        <v>1110.74</v>
      </c>
      <c r="K12" s="42"/>
      <c r="L12" s="42"/>
      <c r="M12" s="4"/>
    </row>
    <row r="13" spans="1:13" ht="15" thickBot="1" x14ac:dyDescent="0.4">
      <c r="A13" s="1"/>
      <c r="B13" s="42"/>
      <c r="C13" s="42"/>
      <c r="D13" s="42"/>
      <c r="E13" s="42"/>
      <c r="F13" s="42"/>
      <c r="G13" s="19" t="s">
        <v>19</v>
      </c>
      <c r="H13" s="20"/>
      <c r="I13" s="22">
        <f>SUM(I5,I6,I7,I8,I9,I10,I11,I12)</f>
        <v>166300</v>
      </c>
      <c r="J13" s="21">
        <f t="shared" si="1"/>
        <v>11690.89</v>
      </c>
      <c r="K13" s="42"/>
      <c r="L13" s="42"/>
      <c r="M13" s="4"/>
    </row>
    <row r="14" spans="1:13" ht="16.5" customHeight="1" thickBot="1" x14ac:dyDescent="0.4">
      <c r="A14" s="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"/>
    </row>
    <row r="15" spans="1:13" ht="19.5" customHeight="1" thickBot="1" x14ac:dyDescent="0.4">
      <c r="A15" s="1"/>
      <c r="B15" s="42"/>
      <c r="C15" s="39" t="s">
        <v>22</v>
      </c>
      <c r="D15" s="40"/>
      <c r="E15" s="41"/>
      <c r="F15" s="43"/>
      <c r="G15" s="43"/>
      <c r="H15" s="43"/>
      <c r="I15" s="43"/>
      <c r="J15" s="42"/>
      <c r="K15" s="42"/>
      <c r="L15" s="42"/>
      <c r="M15" s="4"/>
    </row>
    <row r="16" spans="1:13" ht="16" customHeight="1" thickBot="1" x14ac:dyDescent="0.4">
      <c r="A16" s="1"/>
      <c r="B16" s="44"/>
      <c r="C16" s="32" t="s">
        <v>17</v>
      </c>
      <c r="D16" s="33" t="s">
        <v>20</v>
      </c>
      <c r="E16" s="34" t="s">
        <v>21</v>
      </c>
      <c r="F16" s="2"/>
      <c r="G16" s="2"/>
      <c r="H16" s="2"/>
      <c r="I16" s="2"/>
      <c r="J16" s="2"/>
      <c r="K16" s="2"/>
      <c r="L16" s="42"/>
      <c r="M16" s="4"/>
    </row>
    <row r="17" spans="1:13" ht="15" thickBot="1" x14ac:dyDescent="0.4">
      <c r="A17" s="1"/>
      <c r="B17" s="44"/>
      <c r="C17" s="37">
        <v>1</v>
      </c>
      <c r="D17" s="17">
        <f>$C17*I$13</f>
        <v>166300</v>
      </c>
      <c r="E17" s="38">
        <f>$C17*J$13</f>
        <v>11690.89</v>
      </c>
      <c r="F17" s="42"/>
      <c r="G17" s="42"/>
      <c r="H17" s="42"/>
      <c r="I17" s="42"/>
      <c r="J17" s="42"/>
      <c r="K17" s="42"/>
      <c r="L17" s="42"/>
      <c r="M17" s="4"/>
    </row>
    <row r="18" spans="1:13" ht="15" thickBot="1" x14ac:dyDescent="0.4">
      <c r="A18" s="1"/>
      <c r="B18" s="44"/>
      <c r="C18" s="35">
        <v>2</v>
      </c>
      <c r="D18" s="16">
        <f t="shared" ref="D18:E26" si="2">$C18*I$13</f>
        <v>332600</v>
      </c>
      <c r="E18" s="36">
        <f t="shared" si="2"/>
        <v>23381.78</v>
      </c>
      <c r="F18" s="42"/>
      <c r="G18" s="42"/>
      <c r="H18" s="42"/>
      <c r="I18" s="42"/>
      <c r="J18" s="42"/>
      <c r="K18" s="42"/>
      <c r="L18" s="42"/>
      <c r="M18" s="4"/>
    </row>
    <row r="19" spans="1:13" ht="15" thickBot="1" x14ac:dyDescent="0.4">
      <c r="A19" s="1"/>
      <c r="B19" s="44"/>
      <c r="C19" s="37">
        <v>3</v>
      </c>
      <c r="D19" s="17">
        <f t="shared" si="2"/>
        <v>498900</v>
      </c>
      <c r="E19" s="38">
        <f t="shared" si="2"/>
        <v>35072.67</v>
      </c>
      <c r="F19" s="42"/>
      <c r="G19" s="42"/>
      <c r="H19" s="42"/>
      <c r="I19" s="42"/>
      <c r="J19" s="42"/>
      <c r="K19" s="42"/>
      <c r="L19" s="42"/>
      <c r="M19" s="4"/>
    </row>
    <row r="20" spans="1:13" ht="15" thickBot="1" x14ac:dyDescent="0.4">
      <c r="A20" s="1"/>
      <c r="B20" s="44"/>
      <c r="C20" s="35">
        <v>4</v>
      </c>
      <c r="D20" s="16">
        <f>$C20*I$13</f>
        <v>665200</v>
      </c>
      <c r="E20" s="36">
        <f t="shared" si="2"/>
        <v>46763.56</v>
      </c>
      <c r="F20" s="42"/>
      <c r="G20" s="42"/>
      <c r="H20" s="42"/>
      <c r="I20" s="42"/>
      <c r="J20" s="42"/>
      <c r="K20" s="42"/>
      <c r="L20" s="42"/>
      <c r="M20" s="4"/>
    </row>
    <row r="21" spans="1:13" ht="15" thickBot="1" x14ac:dyDescent="0.4">
      <c r="A21" s="1"/>
      <c r="B21" s="44"/>
      <c r="C21" s="37">
        <v>5</v>
      </c>
      <c r="D21" s="17">
        <f t="shared" si="2"/>
        <v>831500</v>
      </c>
      <c r="E21" s="38">
        <f t="shared" si="2"/>
        <v>58454.45</v>
      </c>
      <c r="F21" s="42"/>
      <c r="G21" s="42"/>
      <c r="H21" s="42"/>
      <c r="I21" s="42"/>
      <c r="J21" s="42"/>
      <c r="K21" s="42"/>
      <c r="L21" s="42"/>
      <c r="M21" s="4"/>
    </row>
    <row r="22" spans="1:13" ht="15" thickBot="1" x14ac:dyDescent="0.4">
      <c r="A22" s="1"/>
      <c r="B22" s="42"/>
      <c r="C22" s="35">
        <v>6</v>
      </c>
      <c r="D22" s="16">
        <f t="shared" si="2"/>
        <v>997800</v>
      </c>
      <c r="E22" s="36">
        <f t="shared" si="2"/>
        <v>70145.34</v>
      </c>
      <c r="F22" s="42"/>
      <c r="G22" s="42"/>
      <c r="H22" s="42"/>
      <c r="I22" s="42"/>
      <c r="J22" s="42"/>
      <c r="K22" s="42"/>
      <c r="L22" s="42"/>
      <c r="M22" s="4"/>
    </row>
    <row r="23" spans="1:13" ht="15" thickBot="1" x14ac:dyDescent="0.4">
      <c r="A23" s="1"/>
      <c r="B23" s="42"/>
      <c r="C23" s="37">
        <v>7</v>
      </c>
      <c r="D23" s="17">
        <f t="shared" si="2"/>
        <v>1164100</v>
      </c>
      <c r="E23" s="38">
        <f t="shared" si="2"/>
        <v>81836.23</v>
      </c>
      <c r="F23" s="42"/>
      <c r="G23" s="42"/>
      <c r="H23" s="42"/>
      <c r="I23" s="42"/>
      <c r="J23" s="42"/>
      <c r="K23" s="42"/>
      <c r="L23" s="42"/>
      <c r="M23" s="4"/>
    </row>
    <row r="24" spans="1:13" ht="15" thickBot="1" x14ac:dyDescent="0.4">
      <c r="A24" s="1"/>
      <c r="B24" s="42"/>
      <c r="C24" s="35">
        <v>8</v>
      </c>
      <c r="D24" s="16">
        <f t="shared" si="2"/>
        <v>1330400</v>
      </c>
      <c r="E24" s="36">
        <f t="shared" si="2"/>
        <v>93527.12</v>
      </c>
      <c r="F24" s="42"/>
      <c r="G24" s="42"/>
      <c r="H24" s="42"/>
      <c r="I24" s="42"/>
      <c r="J24" s="42"/>
      <c r="K24" s="42"/>
      <c r="L24" s="42"/>
      <c r="M24" s="4"/>
    </row>
    <row r="25" spans="1:13" ht="15" thickBot="1" x14ac:dyDescent="0.4">
      <c r="A25" s="1"/>
      <c r="B25" s="42"/>
      <c r="C25" s="37">
        <v>9</v>
      </c>
      <c r="D25" s="17">
        <f t="shared" si="2"/>
        <v>1496700</v>
      </c>
      <c r="E25" s="38">
        <f t="shared" si="2"/>
        <v>105218.01</v>
      </c>
      <c r="F25" s="42"/>
      <c r="G25" s="42"/>
      <c r="H25" s="42"/>
      <c r="I25" s="42"/>
      <c r="J25" s="42"/>
      <c r="K25" s="42"/>
      <c r="L25" s="42"/>
      <c r="M25" s="4"/>
    </row>
    <row r="26" spans="1:13" ht="15" thickBot="1" x14ac:dyDescent="0.4">
      <c r="A26" s="1"/>
      <c r="B26" s="42"/>
      <c r="C26" s="35">
        <v>10</v>
      </c>
      <c r="D26" s="16">
        <f t="shared" si="2"/>
        <v>1663000</v>
      </c>
      <c r="E26" s="36">
        <f t="shared" si="2"/>
        <v>116908.9</v>
      </c>
      <c r="F26" s="42"/>
      <c r="G26" s="42"/>
      <c r="H26" s="42"/>
      <c r="I26" s="42"/>
      <c r="J26" s="42"/>
      <c r="K26" s="42"/>
      <c r="L26" s="42"/>
      <c r="M26" s="4"/>
    </row>
    <row r="27" spans="1:13" x14ac:dyDescent="0.35">
      <c r="A27" s="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"/>
    </row>
    <row r="28" spans="1:13" x14ac:dyDescent="0.35">
      <c r="A28" s="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"/>
    </row>
    <row r="29" spans="1:13" ht="15" thickBot="1" x14ac:dyDescent="0.4">
      <c r="A29" s="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8"/>
    </row>
  </sheetData>
  <mergeCells count="4">
    <mergeCell ref="A1:M1"/>
    <mergeCell ref="B3:J3"/>
    <mergeCell ref="G13:H13"/>
    <mergeCell ref="C15:E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2026-10-25T13:18:26Z</dcterms:created>
  <dcterms:modified xsi:type="dcterms:W3CDTF">2026-10-25T15:19:56Z</dcterms:modified>
</cp:coreProperties>
</file>