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Data Science\EXCEL\"/>
    </mc:Choice>
  </mc:AlternateContent>
  <bookViews>
    <workbookView xWindow="0" yWindow="0" windowWidth="19200" windowHeight="719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33" i="1" l="1"/>
  <c r="M34" i="1"/>
  <c r="M35" i="1"/>
  <c r="M36" i="1"/>
  <c r="M37" i="1"/>
  <c r="M38" i="1"/>
  <c r="M39" i="1"/>
  <c r="M40" i="1"/>
  <c r="M41" i="1"/>
  <c r="M32" i="1"/>
  <c r="H42" i="1"/>
  <c r="C42" i="1"/>
  <c r="M26" i="1"/>
  <c r="H26" i="1"/>
  <c r="C26" i="1"/>
</calcChain>
</file>

<file path=xl/sharedStrings.xml><?xml version="1.0" encoding="utf-8"?>
<sst xmlns="http://schemas.openxmlformats.org/spreadsheetml/2006/main" count="77" uniqueCount="38">
  <si>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</si>
  <si>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</si>
  <si>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</si>
  <si>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</si>
  <si>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</si>
  <si>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</si>
  <si>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</si>
  <si>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</si>
  <si>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</si>
  <si>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</si>
  <si>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</si>
  <si>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</si>
  <si>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</si>
  <si>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</si>
  <si>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</si>
  <si>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</si>
  <si>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</si>
  <si>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</si>
  <si>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</si>
  <si>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</si>
  <si>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</si>
  <si>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</si>
  <si>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</si>
  <si>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</si>
  <si>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</si>
  <si>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1. Calculate Total Quantity Sold</t>
  </si>
  <si>
    <t>Total Quantity Sold =</t>
  </si>
  <si>
    <t>TASK 2</t>
  </si>
  <si>
    <t>2. Find the Highest Revenue Product</t>
  </si>
  <si>
    <t>Highest Revenue Product</t>
  </si>
  <si>
    <t>3. Find the Lowest Revenue Product</t>
  </si>
  <si>
    <t xml:space="preserve">Lowest Revenue Product </t>
  </si>
  <si>
    <t xml:space="preserve">4. Count how many products were sold </t>
  </si>
  <si>
    <t>Total Products Sold</t>
  </si>
  <si>
    <t>5. Find Average Revenue</t>
  </si>
  <si>
    <t>Average Revenue</t>
  </si>
  <si>
    <t>Calculated Revenue</t>
  </si>
  <si>
    <t>Calculate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</si>
</sst>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&quot;₹&quot;\ #,##0.00"/>
  </numFmts>
  <fonts count="4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10" xfId="0" applyFont="1" applyBorder="1" applyAlignment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170" fontId="0" fillId="0" borderId="0" xfId="0" applyNumberFormat="1" applyFont="1" applyAlignment="1"/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" fillId="0" borderId="14" xfId="0" applyNumberFormat="1" applyFont="1" applyBorder="1" applyAlignment="1">
      <alignment horizontal="center" vertical="center"/>
    </xf>
    <xf numFmtId="170" fontId="2" fillId="0" borderId="14" xfId="0" applyNumberFormat="1" applyFont="1" applyBorder="1" applyAlignment="1">
      <alignment horizontal="center" vertical="center"/>
    </xf>
    <xf numFmtId="0" fontId="0" fillId="2" borderId="13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right"/>
    </xf>
    <xf numFmtId="0" fontId="0" fillId="0" borderId="16" xfId="0" applyFont="1" applyBorder="1" applyAlignment="1"/>
    <xf numFmtId="0" fontId="1" fillId="0" borderId="16" xfId="0" applyFont="1" applyBorder="1" applyAlignment="1">
      <alignment horizontal="center"/>
    </xf>
    <xf numFmtId="3" fontId="2" fillId="0" borderId="16" xfId="0" applyNumberFormat="1" applyFont="1" applyBorder="1" applyAlignment="1">
      <alignment horizontal="right"/>
    </xf>
    <xf numFmtId="0" fontId="1" fillId="5" borderId="17" xfId="0" applyFont="1" applyFill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170" fontId="2" fillId="0" borderId="18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170" fontId="2" fillId="0" borderId="15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170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3" fontId="2" fillId="4" borderId="11" xfId="0" applyNumberFormat="1" applyFont="1" applyFill="1" applyBorder="1" applyAlignment="1">
      <alignment horizontal="center" vertical="center"/>
    </xf>
    <xf numFmtId="3" fontId="2" fillId="4" borderId="13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170" fontId="2" fillId="0" borderId="22" xfId="0" applyNumberFormat="1" applyFont="1" applyBorder="1" applyAlignment="1">
      <alignment horizontal="center" vertical="center"/>
    </xf>
    <xf numFmtId="170" fontId="2" fillId="0" borderId="23" xfId="0" applyNumberFormat="1" applyFont="1" applyBorder="1" applyAlignment="1">
      <alignment horizontal="center" vertical="center"/>
    </xf>
    <xf numFmtId="170" fontId="2" fillId="0" borderId="24" xfId="0" applyNumberFormat="1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0" borderId="25" xfId="0" applyNumberFormat="1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170" fontId="2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170" fontId="0" fillId="4" borderId="1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0" fontId="0" fillId="4" borderId="28" xfId="0" applyNumberFormat="1" applyFont="1" applyFill="1" applyBorder="1" applyAlignment="1">
      <alignment horizontal="center" vertical="center"/>
    </xf>
    <xf numFmtId="170" fontId="0" fillId="4" borderId="7" xfId="0" applyNumberFormat="1" applyFont="1" applyFill="1" applyBorder="1" applyAlignment="1">
      <alignment horizontal="center" vertical="center"/>
    </xf>
    <xf numFmtId="170" fontId="0" fillId="4" borderId="29" xfId="0" applyNumberFormat="1" applyFont="1" applyFill="1" applyBorder="1" applyAlignment="1">
      <alignment horizontal="center" vertical="center"/>
    </xf>
    <xf numFmtId="170" fontId="0" fillId="4" borderId="30" xfId="0" applyNumberFormat="1" applyFont="1" applyFill="1" applyBorder="1" applyAlignment="1">
      <alignment horizontal="center" vertical="center"/>
    </xf>
    <xf numFmtId="170" fontId="0" fillId="4" borderId="31" xfId="0" applyNumberFormat="1" applyFont="1" applyFill="1" applyBorder="1" applyAlignment="1">
      <alignment horizontal="center" vertical="center"/>
    </xf>
    <xf numFmtId="170" fontId="0" fillId="4" borderId="10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3"/>
  <sheetViews>
    <sheetView tabSelected="1" topLeftCell="D1" workbookViewId="0">
      <selection activeCell="I29" sqref="I29"/>
    </sheetView>
  </sheetViews>
  <sheetFormatPr defaultColWidth="12.6328125" defaultRowHeight="15.75" customHeight="1"/>
  <cols>
    <col min="3" max="3" width="15.26953125" customWidth="1"/>
    <col min="6" max="6" width="15.6328125" customWidth="1"/>
    <col min="7" max="7" width="15.1796875" customWidth="1"/>
    <col min="8" max="8" width="14.90625" customWidth="1"/>
    <col min="9" max="9" width="15.81640625" customWidth="1"/>
    <col min="11" max="11" width="14.7265625" customWidth="1"/>
    <col min="12" max="12" width="15.36328125" customWidth="1"/>
    <col min="13" max="13" width="20.26953125" customWidth="1"/>
    <col min="14" max="14" width="12.6328125" customWidth="1"/>
  </cols>
  <sheetData>
    <row r="1" spans="1:14" ht="14">
      <c r="A1" s="5"/>
      <c r="B1" s="5"/>
      <c r="C1" s="5"/>
      <c r="D1" s="5"/>
      <c r="E1" s="5"/>
    </row>
    <row r="2" spans="1:14" ht="14.5" thickBot="1">
      <c r="A2" s="3"/>
      <c r="B2" s="3"/>
      <c r="C2" s="6"/>
      <c r="D2" s="7"/>
      <c r="E2" s="12" t="s">
        <v>0</v>
      </c>
      <c r="F2" s="12" t="s">
        <v>1</v>
      </c>
      <c r="G2" s="12" t="s">
        <v>2</v>
      </c>
      <c r="H2" s="12" t="s">
        <v>3</v>
      </c>
      <c r="I2" s="12" t="s">
        <v>4</v>
      </c>
    </row>
    <row r="3" spans="1:14" ht="14">
      <c r="A3" s="76" t="s">
        <v>27</v>
      </c>
      <c r="B3" s="77"/>
      <c r="C3" s="78"/>
      <c r="D3" s="8"/>
      <c r="E3" s="10" t="s">
        <v>5</v>
      </c>
      <c r="F3" s="9" t="s">
        <v>6</v>
      </c>
      <c r="G3" s="10">
        <v>12</v>
      </c>
      <c r="H3" s="13">
        <v>52000</v>
      </c>
      <c r="I3" s="13">
        <v>624000</v>
      </c>
    </row>
    <row r="4" spans="1:14" ht="14.5" thickBot="1">
      <c r="A4" s="79"/>
      <c r="B4" s="80"/>
      <c r="C4" s="81"/>
      <c r="D4" s="3"/>
      <c r="E4" s="11" t="s">
        <v>7</v>
      </c>
      <c r="F4" s="9" t="s">
        <v>8</v>
      </c>
      <c r="G4" s="10">
        <v>85</v>
      </c>
      <c r="H4" s="13">
        <v>450</v>
      </c>
      <c r="I4" s="13">
        <v>38250</v>
      </c>
    </row>
    <row r="5" spans="1:14" ht="14">
      <c r="A5" s="3"/>
      <c r="B5" s="3"/>
      <c r="C5" s="6"/>
      <c r="D5" s="3"/>
      <c r="E5" s="11" t="s">
        <v>9</v>
      </c>
      <c r="F5" s="9" t="s">
        <v>10</v>
      </c>
      <c r="G5" s="10">
        <v>56</v>
      </c>
      <c r="H5" s="13">
        <v>900</v>
      </c>
      <c r="I5" s="13">
        <v>50400</v>
      </c>
    </row>
    <row r="6" spans="1:14" ht="14">
      <c r="A6" s="3"/>
      <c r="B6" s="3"/>
      <c r="C6" s="6"/>
      <c r="D6" s="3"/>
      <c r="E6" s="11" t="s">
        <v>11</v>
      </c>
      <c r="F6" s="9" t="s">
        <v>12</v>
      </c>
      <c r="G6" s="10">
        <v>18</v>
      </c>
      <c r="H6" s="13">
        <v>9500</v>
      </c>
      <c r="I6" s="13">
        <v>171000</v>
      </c>
    </row>
    <row r="7" spans="1:14" ht="14">
      <c r="A7" s="3"/>
      <c r="B7" s="3"/>
      <c r="C7" s="6"/>
      <c r="D7" s="3"/>
      <c r="E7" s="11" t="s">
        <v>13</v>
      </c>
      <c r="F7" s="9" t="s">
        <v>14</v>
      </c>
      <c r="G7" s="10">
        <v>140</v>
      </c>
      <c r="H7" s="13">
        <v>120</v>
      </c>
      <c r="I7" s="13">
        <v>16800</v>
      </c>
    </row>
    <row r="8" spans="1:14" ht="14">
      <c r="A8" s="3"/>
      <c r="B8" s="3"/>
      <c r="C8" s="6"/>
      <c r="D8" s="3"/>
      <c r="E8" s="11" t="s">
        <v>15</v>
      </c>
      <c r="F8" s="9" t="s">
        <v>16</v>
      </c>
      <c r="G8" s="10">
        <v>32</v>
      </c>
      <c r="H8" s="13">
        <v>1500</v>
      </c>
      <c r="I8" s="13">
        <v>48000</v>
      </c>
    </row>
    <row r="9" spans="1:14" ht="14">
      <c r="A9" s="3"/>
      <c r="B9" s="3"/>
      <c r="C9" s="6"/>
      <c r="D9" s="3"/>
      <c r="E9" s="11" t="s">
        <v>17</v>
      </c>
      <c r="F9" s="9" t="s">
        <v>18</v>
      </c>
      <c r="G9" s="10">
        <v>7</v>
      </c>
      <c r="H9" s="13">
        <v>14500</v>
      </c>
      <c r="I9" s="13">
        <v>101500</v>
      </c>
    </row>
    <row r="10" spans="1:14" ht="14">
      <c r="A10" s="3"/>
      <c r="B10" s="3"/>
      <c r="C10" s="6"/>
      <c r="D10" s="3"/>
      <c r="E10" s="11" t="s">
        <v>19</v>
      </c>
      <c r="F10" s="9" t="s">
        <v>20</v>
      </c>
      <c r="G10" s="10">
        <v>63</v>
      </c>
      <c r="H10" s="13">
        <v>700</v>
      </c>
      <c r="I10" s="13">
        <v>44100</v>
      </c>
    </row>
    <row r="11" spans="1:14" ht="14">
      <c r="A11" s="3"/>
      <c r="B11" s="3"/>
      <c r="C11" s="6"/>
      <c r="D11" s="3"/>
      <c r="E11" s="11" t="s">
        <v>21</v>
      </c>
      <c r="F11" s="9" t="s">
        <v>22</v>
      </c>
      <c r="G11" s="10">
        <v>22</v>
      </c>
      <c r="H11" s="13">
        <v>2800</v>
      </c>
      <c r="I11" s="13">
        <v>61600</v>
      </c>
    </row>
    <row r="12" spans="1:14" ht="14">
      <c r="A12" s="1"/>
      <c r="B12" s="1"/>
      <c r="C12" s="1"/>
      <c r="D12" s="3"/>
      <c r="E12" s="11" t="s">
        <v>23</v>
      </c>
      <c r="F12" s="9" t="s">
        <v>24</v>
      </c>
      <c r="G12" s="10">
        <v>15</v>
      </c>
      <c r="H12" s="13">
        <v>2200</v>
      </c>
      <c r="I12" s="13">
        <v>33000</v>
      </c>
    </row>
    <row r="13" spans="1:14" ht="14.5" thickBot="1">
      <c r="A13" s="2"/>
      <c r="B13" s="1"/>
      <c r="C13" s="1"/>
      <c r="D13" s="3"/>
      <c r="E13" s="3"/>
      <c r="F13" s="6"/>
      <c r="G13" s="7"/>
      <c r="H13" s="7"/>
      <c r="I13" s="27"/>
    </row>
    <row r="14" spans="1:14" ht="15.75" customHeight="1" thickBot="1">
      <c r="A14" s="19" t="s">
        <v>25</v>
      </c>
      <c r="B14" s="20"/>
      <c r="C14" s="20"/>
      <c r="D14" s="21"/>
      <c r="E14" s="1"/>
      <c r="F14" s="24" t="s">
        <v>28</v>
      </c>
      <c r="G14" s="25"/>
      <c r="H14" s="25"/>
      <c r="I14" s="26"/>
      <c r="K14" s="22" t="s">
        <v>30</v>
      </c>
      <c r="L14" s="23"/>
      <c r="M14" s="23"/>
      <c r="N14" s="33"/>
    </row>
    <row r="15" spans="1:14" ht="14">
      <c r="A15" s="14"/>
      <c r="B15" s="3"/>
      <c r="C15" s="12" t="s">
        <v>2</v>
      </c>
      <c r="D15" s="15"/>
      <c r="E15" s="1"/>
      <c r="F15" s="16"/>
      <c r="G15" s="12" t="s">
        <v>1</v>
      </c>
      <c r="H15" s="12" t="s">
        <v>4</v>
      </c>
      <c r="I15" s="17"/>
      <c r="K15" s="16"/>
      <c r="L15" s="39" t="s">
        <v>1</v>
      </c>
      <c r="M15" s="41" t="s">
        <v>4</v>
      </c>
      <c r="N15" s="17"/>
    </row>
    <row r="16" spans="1:14" ht="14">
      <c r="A16" s="14"/>
      <c r="B16" s="3"/>
      <c r="C16" s="10">
        <v>12</v>
      </c>
      <c r="D16" s="15"/>
      <c r="E16" s="1"/>
      <c r="F16" s="16"/>
      <c r="G16" s="9" t="s">
        <v>6</v>
      </c>
      <c r="H16" s="13">
        <v>624000</v>
      </c>
      <c r="I16" s="17"/>
      <c r="K16" s="36"/>
      <c r="L16" s="47" t="s">
        <v>6</v>
      </c>
      <c r="M16" s="44">
        <v>624000</v>
      </c>
      <c r="N16" s="17"/>
    </row>
    <row r="17" spans="1:14" ht="15.75" customHeight="1">
      <c r="A17" s="16"/>
      <c r="B17" s="4"/>
      <c r="C17" s="10">
        <v>85</v>
      </c>
      <c r="D17" s="17"/>
      <c r="F17" s="16"/>
      <c r="G17" s="9" t="s">
        <v>8</v>
      </c>
      <c r="H17" s="13">
        <v>38250</v>
      </c>
      <c r="I17" s="17"/>
      <c r="K17" s="36"/>
      <c r="L17" s="43" t="s">
        <v>8</v>
      </c>
      <c r="M17" s="44">
        <v>38250</v>
      </c>
      <c r="N17" s="17"/>
    </row>
    <row r="18" spans="1:14" ht="15.75" customHeight="1">
      <c r="A18" s="16"/>
      <c r="B18" s="4"/>
      <c r="C18" s="10">
        <v>56</v>
      </c>
      <c r="D18" s="17"/>
      <c r="F18" s="16"/>
      <c r="G18" s="9" t="s">
        <v>10</v>
      </c>
      <c r="H18" s="13">
        <v>50400</v>
      </c>
      <c r="I18" s="28"/>
      <c r="J18" s="8"/>
      <c r="K18" s="37"/>
      <c r="L18" s="45" t="s">
        <v>10</v>
      </c>
      <c r="M18" s="44">
        <v>50400</v>
      </c>
      <c r="N18" s="17"/>
    </row>
    <row r="19" spans="1:14" ht="15.75" customHeight="1">
      <c r="A19" s="16"/>
      <c r="B19" s="4"/>
      <c r="C19" s="10">
        <v>18</v>
      </c>
      <c r="D19" s="17"/>
      <c r="F19" s="16"/>
      <c r="G19" s="9" t="s">
        <v>12</v>
      </c>
      <c r="H19" s="13">
        <v>171000</v>
      </c>
      <c r="I19" s="29"/>
      <c r="J19" s="7"/>
      <c r="K19" s="35"/>
      <c r="L19" s="43" t="s">
        <v>12</v>
      </c>
      <c r="M19" s="44">
        <v>171000</v>
      </c>
      <c r="N19" s="17"/>
    </row>
    <row r="20" spans="1:14" ht="15.75" customHeight="1">
      <c r="A20" s="16"/>
      <c r="B20" s="4"/>
      <c r="C20" s="10">
        <v>140</v>
      </c>
      <c r="D20" s="17"/>
      <c r="F20" s="16"/>
      <c r="G20" s="9" t="s">
        <v>14</v>
      </c>
      <c r="H20" s="13">
        <v>16800</v>
      </c>
      <c r="I20" s="29"/>
      <c r="J20" s="6"/>
      <c r="K20" s="38"/>
      <c r="L20" s="47" t="s">
        <v>14</v>
      </c>
      <c r="M20" s="44">
        <v>16800</v>
      </c>
      <c r="N20" s="17"/>
    </row>
    <row r="21" spans="1:14" ht="15.75" customHeight="1">
      <c r="A21" s="16"/>
      <c r="B21" s="4"/>
      <c r="C21" s="10">
        <v>32</v>
      </c>
      <c r="D21" s="17"/>
      <c r="F21" s="16"/>
      <c r="G21" s="9" t="s">
        <v>16</v>
      </c>
      <c r="H21" s="13">
        <v>48000</v>
      </c>
      <c r="I21" s="29"/>
      <c r="J21" s="6"/>
      <c r="K21" s="38"/>
      <c r="L21" s="43" t="s">
        <v>16</v>
      </c>
      <c r="M21" s="44">
        <v>48000</v>
      </c>
      <c r="N21" s="17"/>
    </row>
    <row r="22" spans="1:14" ht="15.75" customHeight="1">
      <c r="A22" s="16"/>
      <c r="B22" s="4"/>
      <c r="C22" s="10">
        <v>7</v>
      </c>
      <c r="D22" s="17"/>
      <c r="F22" s="16"/>
      <c r="G22" s="9" t="s">
        <v>18</v>
      </c>
      <c r="H22" s="13">
        <v>101500</v>
      </c>
      <c r="I22" s="29"/>
      <c r="J22" s="7"/>
      <c r="K22" s="38"/>
      <c r="L22" s="40" t="s">
        <v>18</v>
      </c>
      <c r="M22" s="42">
        <v>101500</v>
      </c>
      <c r="N22" s="17"/>
    </row>
    <row r="23" spans="1:14" ht="15.75" customHeight="1">
      <c r="A23" s="16"/>
      <c r="B23" s="4"/>
      <c r="C23" s="10">
        <v>63</v>
      </c>
      <c r="D23" s="17"/>
      <c r="F23" s="16"/>
      <c r="G23" s="9" t="s">
        <v>20</v>
      </c>
      <c r="H23" s="13">
        <v>44100</v>
      </c>
      <c r="I23" s="29"/>
      <c r="J23" s="67"/>
      <c r="K23" s="35"/>
      <c r="L23" s="43" t="s">
        <v>20</v>
      </c>
      <c r="M23" s="46">
        <v>44100</v>
      </c>
      <c r="N23" s="17"/>
    </row>
    <row r="24" spans="1:14" ht="15.75" customHeight="1">
      <c r="A24" s="16"/>
      <c r="B24" s="4"/>
      <c r="C24" s="10">
        <v>22</v>
      </c>
      <c r="D24" s="17"/>
      <c r="F24" s="16"/>
      <c r="G24" s="9" t="s">
        <v>22</v>
      </c>
      <c r="H24" s="13">
        <v>61600</v>
      </c>
      <c r="I24" s="29"/>
      <c r="J24" s="7"/>
      <c r="K24" s="38"/>
      <c r="L24" s="47" t="s">
        <v>22</v>
      </c>
      <c r="M24" s="44">
        <v>61600</v>
      </c>
      <c r="N24" s="17"/>
    </row>
    <row r="25" spans="1:14" ht="15.75" customHeight="1" thickBot="1">
      <c r="A25" s="16"/>
      <c r="B25" s="4"/>
      <c r="C25" s="10">
        <v>15</v>
      </c>
      <c r="D25" s="17"/>
      <c r="F25" s="16"/>
      <c r="G25" s="31" t="s">
        <v>24</v>
      </c>
      <c r="H25" s="32">
        <v>33000</v>
      </c>
      <c r="I25" s="29"/>
      <c r="J25" s="7"/>
      <c r="K25" s="38"/>
      <c r="L25" s="45" t="s">
        <v>24</v>
      </c>
      <c r="M25" s="46">
        <v>33000</v>
      </c>
      <c r="N25" s="17"/>
    </row>
    <row r="26" spans="1:14" ht="15.75" customHeight="1" thickBot="1">
      <c r="A26" s="52" t="s">
        <v>26</v>
      </c>
      <c r="B26" s="53"/>
      <c r="C26" s="54">
        <f xml:space="preserve"> SUM(C16:C25)</f>
        <v>450</v>
      </c>
      <c r="D26" s="18"/>
      <c r="F26" s="50" t="s">
        <v>29</v>
      </c>
      <c r="G26" s="51"/>
      <c r="H26" s="34" t="str">
        <f>INDEX(G16:G25,MATCH(MAX(H16:H25),H16:H25,0))</f>
        <v>Laptop</v>
      </c>
      <c r="I26" s="30"/>
      <c r="J26" s="6"/>
      <c r="K26" s="48" t="s">
        <v>31</v>
      </c>
      <c r="L26" s="49"/>
      <c r="M26" s="54" t="str">
        <f>INDEX(L16:L25,MATCH(MIN(M16:M25),M16:M25,0))</f>
        <v>USB Cable</v>
      </c>
      <c r="N26" s="18"/>
    </row>
    <row r="27" spans="1:14" ht="15.75" customHeight="1">
      <c r="G27" s="3"/>
      <c r="H27" s="3"/>
      <c r="I27" s="6"/>
      <c r="J27" s="7"/>
      <c r="K27" s="7"/>
    </row>
    <row r="28" spans="1:14" ht="15.75" customHeight="1">
      <c r="G28" s="3"/>
      <c r="H28" s="3"/>
      <c r="I28" s="6"/>
      <c r="J28" s="7"/>
      <c r="K28" s="7"/>
    </row>
    <row r="29" spans="1:14" ht="15.75" customHeight="1" thickBot="1"/>
    <row r="30" spans="1:14" ht="15.75" customHeight="1" thickBot="1">
      <c r="A30" s="55" t="s">
        <v>32</v>
      </c>
      <c r="B30" s="25"/>
      <c r="C30" s="25"/>
      <c r="D30" s="26"/>
      <c r="F30" s="24" t="s">
        <v>34</v>
      </c>
      <c r="G30" s="25"/>
      <c r="H30" s="26"/>
      <c r="K30" s="24" t="s">
        <v>37</v>
      </c>
      <c r="L30" s="25"/>
      <c r="M30" s="26"/>
    </row>
    <row r="31" spans="1:14" ht="15.75" customHeight="1">
      <c r="A31" s="16"/>
      <c r="B31" s="4"/>
      <c r="C31" s="12" t="s">
        <v>1</v>
      </c>
      <c r="D31" s="17"/>
      <c r="F31" s="16"/>
      <c r="G31" s="4"/>
      <c r="H31" s="58" t="s">
        <v>4</v>
      </c>
      <c r="K31" s="62" t="s">
        <v>2</v>
      </c>
      <c r="L31" s="12" t="s">
        <v>3</v>
      </c>
      <c r="M31" s="63" t="s">
        <v>36</v>
      </c>
    </row>
    <row r="32" spans="1:14" ht="15.75" customHeight="1">
      <c r="A32" s="16"/>
      <c r="B32" s="4"/>
      <c r="C32" s="9" t="s">
        <v>6</v>
      </c>
      <c r="D32" s="17"/>
      <c r="F32" s="16"/>
      <c r="G32" s="4"/>
      <c r="H32" s="59">
        <v>624000</v>
      </c>
      <c r="K32" s="64">
        <v>12</v>
      </c>
      <c r="L32" s="13">
        <v>52000</v>
      </c>
      <c r="M32" s="70">
        <f>K32*L32</f>
        <v>624000</v>
      </c>
    </row>
    <row r="33" spans="1:13" ht="15.75" customHeight="1">
      <c r="A33" s="16"/>
      <c r="B33" s="4"/>
      <c r="C33" s="9" t="s">
        <v>8</v>
      </c>
      <c r="D33" s="17"/>
      <c r="F33" s="16"/>
      <c r="G33" s="4"/>
      <c r="H33" s="59">
        <v>38250</v>
      </c>
      <c r="K33" s="64">
        <v>85</v>
      </c>
      <c r="L33" s="13">
        <v>450</v>
      </c>
      <c r="M33" s="71">
        <f t="shared" ref="M33:M41" si="0">K33*L33</f>
        <v>38250</v>
      </c>
    </row>
    <row r="34" spans="1:13" ht="15.75" customHeight="1">
      <c r="A34" s="16"/>
      <c r="B34" s="4"/>
      <c r="C34" s="9" t="s">
        <v>10</v>
      </c>
      <c r="D34" s="17"/>
      <c r="F34" s="16"/>
      <c r="G34" s="4"/>
      <c r="H34" s="59">
        <v>50400</v>
      </c>
      <c r="K34" s="64">
        <v>56</v>
      </c>
      <c r="L34" s="61">
        <v>900</v>
      </c>
      <c r="M34" s="72">
        <f t="shared" si="0"/>
        <v>50400</v>
      </c>
    </row>
    <row r="35" spans="1:13" ht="15.75" customHeight="1">
      <c r="A35" s="16"/>
      <c r="B35" s="4"/>
      <c r="C35" s="9" t="s">
        <v>12</v>
      </c>
      <c r="D35" s="17"/>
      <c r="F35" s="16"/>
      <c r="G35" s="4"/>
      <c r="H35" s="59">
        <v>171000</v>
      </c>
      <c r="K35" s="64">
        <v>18</v>
      </c>
      <c r="L35" s="61">
        <v>9500</v>
      </c>
      <c r="M35" s="73">
        <f t="shared" si="0"/>
        <v>171000</v>
      </c>
    </row>
    <row r="36" spans="1:13" ht="15.75" customHeight="1">
      <c r="A36" s="16"/>
      <c r="B36" s="4"/>
      <c r="C36" s="9" t="s">
        <v>14</v>
      </c>
      <c r="D36" s="17"/>
      <c r="F36" s="16"/>
      <c r="G36" s="4"/>
      <c r="H36" s="59">
        <v>16800</v>
      </c>
      <c r="K36" s="64">
        <v>140</v>
      </c>
      <c r="L36" s="61">
        <v>120</v>
      </c>
      <c r="M36" s="74">
        <f t="shared" si="0"/>
        <v>16800</v>
      </c>
    </row>
    <row r="37" spans="1:13" ht="15.75" customHeight="1">
      <c r="A37" s="16"/>
      <c r="B37" s="4"/>
      <c r="C37" s="9" t="s">
        <v>16</v>
      </c>
      <c r="D37" s="17"/>
      <c r="F37" s="16"/>
      <c r="G37" s="4"/>
      <c r="H37" s="59">
        <v>48000</v>
      </c>
      <c r="K37" s="64">
        <v>32</v>
      </c>
      <c r="L37" s="61">
        <v>1500</v>
      </c>
      <c r="M37" s="72">
        <f t="shared" si="0"/>
        <v>48000</v>
      </c>
    </row>
    <row r="38" spans="1:13" ht="15.75" customHeight="1">
      <c r="A38" s="16"/>
      <c r="B38" s="4"/>
      <c r="C38" s="9" t="s">
        <v>18</v>
      </c>
      <c r="D38" s="17"/>
      <c r="F38" s="16"/>
      <c r="G38" s="4"/>
      <c r="H38" s="59">
        <v>101500</v>
      </c>
      <c r="K38" s="64">
        <v>7</v>
      </c>
      <c r="L38" s="61">
        <v>14500</v>
      </c>
      <c r="M38" s="72">
        <f t="shared" si="0"/>
        <v>101500</v>
      </c>
    </row>
    <row r="39" spans="1:13" ht="15.75" customHeight="1">
      <c r="A39" s="16"/>
      <c r="B39" s="4"/>
      <c r="C39" s="9" t="s">
        <v>20</v>
      </c>
      <c r="D39" s="17"/>
      <c r="F39" s="16"/>
      <c r="G39" s="4"/>
      <c r="H39" s="59">
        <v>44100</v>
      </c>
      <c r="K39" s="64">
        <v>63</v>
      </c>
      <c r="L39" s="61">
        <v>700</v>
      </c>
      <c r="M39" s="72">
        <f t="shared" si="0"/>
        <v>44100</v>
      </c>
    </row>
    <row r="40" spans="1:13" ht="15.75" customHeight="1">
      <c r="A40" s="16"/>
      <c r="B40" s="4"/>
      <c r="C40" s="9" t="s">
        <v>22</v>
      </c>
      <c r="D40" s="17"/>
      <c r="F40" s="16"/>
      <c r="G40" s="4"/>
      <c r="H40" s="59">
        <v>61600</v>
      </c>
      <c r="K40" s="64">
        <v>22</v>
      </c>
      <c r="L40" s="61">
        <v>2800</v>
      </c>
      <c r="M40" s="72">
        <f t="shared" si="0"/>
        <v>61600</v>
      </c>
    </row>
    <row r="41" spans="1:13" ht="15.75" customHeight="1" thickBot="1">
      <c r="A41" s="16"/>
      <c r="B41" s="4"/>
      <c r="C41" s="31" t="s">
        <v>24</v>
      </c>
      <c r="D41" s="17"/>
      <c r="F41" s="16"/>
      <c r="G41" s="4"/>
      <c r="H41" s="60">
        <v>33000</v>
      </c>
      <c r="K41" s="65">
        <v>15</v>
      </c>
      <c r="L41" s="66">
        <v>2200</v>
      </c>
      <c r="M41" s="75">
        <f t="shared" si="0"/>
        <v>33000</v>
      </c>
    </row>
    <row r="42" spans="1:13" ht="15.75" customHeight="1" thickBot="1">
      <c r="A42" s="56" t="s">
        <v>33</v>
      </c>
      <c r="B42" s="57"/>
      <c r="C42" s="54">
        <f>COUNTA(C32:C41)</f>
        <v>10</v>
      </c>
      <c r="D42" s="18"/>
      <c r="F42" s="52" t="s">
        <v>35</v>
      </c>
      <c r="G42" s="57"/>
      <c r="H42" s="68">
        <f>AVERAGE(H32:H41)</f>
        <v>118865</v>
      </c>
    </row>
    <row r="43" spans="1:13" ht="15.75" customHeight="1">
      <c r="F43" s="69"/>
    </row>
  </sheetData>
  <mergeCells count="12">
    <mergeCell ref="K14:N14"/>
    <mergeCell ref="K26:L26"/>
    <mergeCell ref="A30:D30"/>
    <mergeCell ref="A42:B42"/>
    <mergeCell ref="F30:H30"/>
    <mergeCell ref="F42:G42"/>
    <mergeCell ref="K30:M30"/>
    <mergeCell ref="A26:B26"/>
    <mergeCell ref="A14:D14"/>
    <mergeCell ref="A3:C4"/>
    <mergeCell ref="F14:I14"/>
    <mergeCell ref="F26:G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2026-10-26T15:29:42Z</dcterms:created>
  <dcterms:modified xsi:type="dcterms:W3CDTF">2026-10-26T15:29:42Z</dcterms:modified>
</cp:coreProperties>
</file>